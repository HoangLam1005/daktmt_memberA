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c3907e9c8f46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ameters" sheetId="1" r:id="R56056d7fdf084443"/>
    <x:sheet xmlns:r="http://schemas.openxmlformats.org/officeDocument/2006/relationships" name="Unit conversion" sheetId="2" r:id="R213184763f1642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General"/>
    <x:numFmt numFmtId="201" formatCode="0.00000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D59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  <x:dxfs count="1">
    <x:dxf>
      <x:fill>
        <x:patternFill patternType="solid">
          <x:bgColor rgb="FFFFF1C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7d80a6808e4dcb" /><Relationship Type="http://schemas.openxmlformats.org/officeDocument/2006/relationships/theme" Target="/xl/theme/theme1.xml" Id="R8c71fbc3e74a49d2" /><Relationship Type="http://schemas.openxmlformats.org/officeDocument/2006/relationships/sharedStrings" Target="/xl/sharedStrings.xml" Id="Rdd6d4bf1b3a14918" /><Relationship Type="http://schemas.openxmlformats.org/officeDocument/2006/relationships/worksheet" Target="/xl/worksheets/sheet1.xml" Id="R56056d7fdf084443" /><Relationship Type="http://schemas.openxmlformats.org/officeDocument/2006/relationships/worksheet" Target="/xl/worksheets/sheet2.xml" Id="R213184763f164276" /></Relationships>
</file>

<file path=xl/tables/table1.xml><?xml version="1.0" encoding="utf-8"?>
<x:table xmlns:x="http://schemas.openxmlformats.org/spreadsheetml/2006/main" id="1" name="ParameterRegistry" displayName="ParameterRegistry" ref="A1:K44" headerRowCount="1" totalsRowCount="0" totalsRowShown="0">
  <x:tableColumns count="11">
    <x:tableColumn id="1" name="Symbol"/>
    <x:tableColumn id="2" name="Name"/>
    <x:tableColumn id="3" name="Value"/>
    <x:tableColumn id="4" name="Unit"/>
    <x:tableColumn id="5" name="Min"/>
    <x:tableColumn id="6" name="Max"/>
    <x:tableColumn id="7" name="Provenance"/>
    <x:tableColumn id="8" name="Sampling"/>
    <x:tableColumn id="9" name="Module"/>
    <x:tableColumn id="10" name="Notes"/>
    <x:tableColumn id="11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9c52febafe448b5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42" hidden="0" customWidth="1"/>
    <x:col min="3" max="3" width="20" hidden="0" customWidth="1"/>
    <x:col min="4" max="4" width="14" hidden="0" customWidth="1"/>
    <x:col min="5" max="5" width="12" hidden="0" customWidth="1"/>
    <x:col min="6" max="6" width="12" hidden="0" customWidth="1"/>
    <x:col min="7" max="7" width="16" hidden="0" customWidth="1"/>
    <x:col min="8" max="8" width="14" hidden="0" customWidth="1"/>
    <x:col min="9" max="9" width="24" hidden="0" customWidth="1"/>
    <x:col min="10" max="10" width="68" hidden="0" customWidth="1"/>
    <x:col min="11" max="11" width="105" hidden="0" customWidth="1"/>
  </x:cols>
  <x:sheetData>
    <x:row r="1" ht="28" customHeight="1">
      <x:c r="A1" s="4" t="str">
        <x:v>Symbol</x:v>
      </x:c>
      <x:c r="B1" s="4" t="str">
        <x:v>Name</x:v>
      </x:c>
      <x:c r="C1" s="4" t="str">
        <x:v>Value</x:v>
      </x:c>
      <x:c r="D1" s="4" t="str">
        <x:v>Unit</x:v>
      </x:c>
      <x:c r="E1" s="4" t="str">
        <x:v>Min</x:v>
      </x:c>
      <x:c r="F1" s="4" t="str">
        <x:v>Max</x:v>
      </x:c>
      <x:c r="G1" s="4" t="str">
        <x:v>Provenance</x:v>
      </x:c>
      <x:c r="H1" s="4" t="str">
        <x:v>Sampling</x:v>
      </x:c>
      <x:c r="I1" s="4" t="str">
        <x:v>Module</x:v>
      </x:c>
      <x:c r="J1" s="4" t="str">
        <x:v>Notes</x:v>
      </x:c>
      <x:c r="K1" s="4" t="str">
        <x:v>Source</x:v>
      </x:c>
    </x:row>
    <x:row r="2" ht="42" customHeight="1">
      <x:c r="A2" s="2" t="str">
        <x:v>L</x:v>
      </x:c>
      <x:c r="B2" s="5" t="str">
        <x:v>Contact length</x:v>
      </x:c>
      <x:c r="C2" s="6" t="n">
        <x:v>0.303</x:v>
      </x:c>
      <x:c r="D2" s="6" t="str">
        <x:v>m</x:v>
      </x:c>
      <x:c r="E2" s="6" t="n">
        <x:v>0.15</x:v>
      </x:c>
      <x:c r="F2" s="6" t="n">
        <x:v>0.4</x:v>
      </x:c>
      <x:c r="G2" s="2" t="str">
        <x:v>published</x:v>
      </x:c>
      <x:c r="H2" s="2" t="str">
        <x:v>fixed</x:v>
      </x:c>
      <x:c r="I2" s="5" t="str">
        <x:v>all</x:v>
      </x:c>
      <x:c r="J2" s="5" t="str">
        <x:v>Literature tire; not measured robot</x:v>
      </x:c>
      <x:c r="K2" s="5" t="str">
        <x:v>https://skoge.folk.ntnu.no/prost/proceedings/ifac2002/data/content/00284/284.pdf Appendix B</x:v>
      </x:c>
    </x:row>
    <x:row r="3" ht="42" customHeight="1">
      <x:c r="A3" s="2" t="str">
        <x:v>Fz</x:v>
      </x:c>
      <x:c r="B3" s="5" t="str">
        <x:v>Nominal wheel load</x:v>
      </x:c>
      <x:c r="C3" s="6" t="n">
        <x:v>4000</x:v>
      </x:c>
      <x:c r="D3" s="6" t="str">
        <x:v>N</x:v>
      </x:c>
      <x:c r="E3" s="6" t="n">
        <x:v>2000</x:v>
      </x:c>
      <x:c r="F3" s="6" t="n">
        <x:v>6000</x:v>
      </x:c>
      <x:c r="G3" s="2" t="str">
        <x:v>published</x:v>
      </x:c>
      <x:c r="H3" s="2" t="str">
        <x:v>sampled</x:v>
      </x:c>
      <x:c r="I3" s="5" t="str">
        <x:v>pressure,dataset</x:v>
      </x:c>
      <x:c r="J3" s="5" t="str">
        <x:v>Load sweeps are declared sensitivity</x:v>
      </x:c>
      <x:c r="K3" s="5" t="str">
        <x:v>https://skoge.folk.ntnu.no/prost/proceedings/ifac2002/data/content/00284/284.pdf Appendix B</x:v>
      </x:c>
    </x:row>
    <x:row r="4" ht="42" customHeight="1">
      <x:c r="A4" s="2" t="str">
        <x:v>L_sigma0_x</x:v>
      </x:c>
      <x:c r="B4" s="5" t="str">
        <x:v>Original longitudinal stiffness product</x:v>
      </x:c>
      <x:c r="C4" s="6" t="n">
        <x:v>314000</x:v>
      </x:c>
      <x:c r="D4" s="6" t="str">
        <x:v>N</x:v>
      </x:c>
      <x:c r="E4" s="6"/>
      <x:c r="F4" s="6"/>
      <x:c r="G4" s="2" t="str">
        <x:v>published</x:v>
      </x:c>
      <x:c r="H4" s="2" t="str">
        <x:v>fixed</x:v>
      </x:c>
      <x:c r="I4" s="5" t="str">
        <x:v>conversion</x:v>
      </x:c>
      <x:c r="J4" s="5" t="str">
        <x:v>Preserve original L*sigma0 convention</x:v>
      </x:c>
      <x:c r="K4" s="5" t="str">
        <x:v>https://skoge.folk.ntnu.no/prost/proceedings/ifac2002/data/content/00284/284.pdf Appendix B</x:v>
      </x:c>
    </x:row>
    <x:row r="5" ht="42" customHeight="1">
      <x:c r="A5" s="2" t="str">
        <x:v>L_sigma0_y</x:v>
      </x:c>
      <x:c r="B5" s="5" t="str">
        <x:v>Original lateral stiffness product</x:v>
      </x:c>
      <x:c r="C5" s="6" t="n">
        <x:v>159200</x:v>
      </x:c>
      <x:c r="D5" s="6" t="str">
        <x:v>N</x:v>
      </x:c>
      <x:c r="E5" s="6"/>
      <x:c r="F5" s="6"/>
      <x:c r="G5" s="2" t="str">
        <x:v>published</x:v>
      </x:c>
      <x:c r="H5" s="2" t="str">
        <x:v>fixed</x:v>
      </x:c>
      <x:c r="I5" s="5" t="str">
        <x:v>conversion</x:v>
      </x:c>
      <x:c r="J5" s="5" t="str">
        <x:v>Preserve original L*sigma0 convention</x:v>
      </x:c>
      <x:c r="K5" s="5" t="str">
        <x:v>https://skoge.folk.ntnu.no/prost/proceedings/ifac2002/data/content/00284/284.pdf Appendix B</x:v>
      </x:c>
    </x:row>
    <x:row r="6" ht="42" customHeight="1">
      <x:c r="A6" s="2" t="str">
        <x:v>sigma0_x</x:v>
      </x:c>
      <x:c r="B6" s="5" t="str">
        <x:v>Load-normalized longitudinal stiffness</x:v>
      </x:c>
      <x:c r="C6" s="7" t="n">
        <x:v>259.0759075907591</x:v>
      </x:c>
      <x:c r="D6" s="6" t="str">
        <x:v>1/m</x:v>
      </x:c>
      <x:c r="E6" s="6" t="n">
        <x:v>150</x:v>
      </x:c>
      <x:c r="F6" s="6" t="n">
        <x:v>500</x:v>
      </x:c>
      <x:c r="G6" s="2" t="str">
        <x:v>derived</x:v>
      </x:c>
      <x:c r="H6" s="2" t="str">
        <x:v>fixed</x:v>
      </x:c>
      <x:c r="I6" s="5" t="str">
        <x:v>PDE,force</x:v>
      </x:c>
      <x:c r="J6" s="5" t="str">
        <x:v>L_sigma0_x/(L*Fz_nominal); frozen under load sweeps</x:v>
      </x:c>
      <x:c r="K6" s="5" t="str">
        <x:v>https://skoge.folk.ntnu.no/prost/proceedings/ifac2002/data/content/00284/284.pdf Eqs.1-3, Appendix B</x:v>
      </x:c>
    </x:row>
    <x:row r="7" ht="42" customHeight="1">
      <x:c r="A7" s="2" t="str">
        <x:v>sigma0_y</x:v>
      </x:c>
      <x:c r="B7" s="5" t="str">
        <x:v>Load-normalized lateral stiffness</x:v>
      </x:c>
      <x:c r="C7" s="7" t="n">
        <x:v>131.35313531353134</x:v>
      </x:c>
      <x:c r="D7" s="6" t="str">
        <x:v>1/m</x:v>
      </x:c>
      <x:c r="E7" s="6" t="n">
        <x:v>100</x:v>
      </x:c>
      <x:c r="F7" s="6" t="n">
        <x:v>500</x:v>
      </x:c>
      <x:c r="G7" s="2" t="str">
        <x:v>derived</x:v>
      </x:c>
      <x:c r="H7" s="2" t="str">
        <x:v>fixed</x:v>
      </x:c>
      <x:c r="I7" s="5" t="str">
        <x:v>PDE,force</x:v>
      </x:c>
      <x:c r="J7" s="5" t="str">
        <x:v>L_sigma0_y/(L*Fz_nominal); frozen under load sweeps</x:v>
      </x:c>
      <x:c r="K7" s="5" t="str">
        <x:v>https://skoge.folk.ntnu.no/prost/proceedings/ifac2002/data/content/00284/284.pdf Eqs.1-3, Appendix B</x:v>
      </x:c>
    </x:row>
    <x:row r="8" ht="42" customHeight="1">
      <x:c r="A8" s="2" t="str">
        <x:v>sigma1_x</x:v>
      </x:c>
      <x:c r="B8" s="5" t="str">
        <x:v>Eulerian bristle damping</x:v>
      </x:c>
      <x:c r="C8" s="6" t="n">
        <x:v>0</x:v>
      </x:c>
      <x:c r="D8" s="6" t="str">
        <x:v>s/m</x:v>
      </x:c>
      <x:c r="E8" s="6" t="n">
        <x:v>0</x:v>
      </x:c>
      <x:c r="F8" s="6" t="n">
        <x:v>0.02</x:v>
      </x:c>
      <x:c r="G8" s="2" t="str">
        <x:v>published</x:v>
      </x:c>
      <x:c r="H8" s="2" t="str">
        <x:v>fixed</x:v>
      </x:c>
      <x:c r="I8" s="5" t="str">
        <x:v>force</x:v>
      </x:c>
      <x:c r="J8" s="5" t="str">
        <x:v>Zero in base case; nonzero only in verification</x:v>
      </x:c>
      <x:c r="K8" s="5" t="str">
        <x:v>https://skoge.folk.ntnu.no/prost/proceedings/ifac2002/data/content/00284/284.pdf Appendix B; https://dcsl.gatech.edu/papers/vsd04R.pdf Eq.2</x:v>
      </x:c>
    </x:row>
    <x:row r="9" ht="42" customHeight="1">
      <x:c r="A9" s="2" t="str">
        <x:v>sigma1_y</x:v>
      </x:c>
      <x:c r="B9" s="5" t="str">
        <x:v>Eulerian bristle damping</x:v>
      </x:c>
      <x:c r="C9" s="6" t="n">
        <x:v>0</x:v>
      </x:c>
      <x:c r="D9" s="6" t="str">
        <x:v>s/m</x:v>
      </x:c>
      <x:c r="E9" s="6" t="n">
        <x:v>0</x:v>
      </x:c>
      <x:c r="F9" s="6" t="n">
        <x:v>0.02</x:v>
      </x:c>
      <x:c r="G9" s="2" t="str">
        <x:v>published</x:v>
      </x:c>
      <x:c r="H9" s="2" t="str">
        <x:v>fixed</x:v>
      </x:c>
      <x:c r="I9" s="5" t="str">
        <x:v>force</x:v>
      </x:c>
      <x:c r="J9" s="5" t="str">
        <x:v>Zero in base case; nonzero only in verification</x:v>
      </x:c>
      <x:c r="K9" s="5" t="str">
        <x:v>https://skoge.folk.ntnu.no/prost/proceedings/ifac2002/data/content/00284/284.pdf Appendix B; https://dcsl.gatech.edu/papers/vsd04R.pdf Eq.2</x:v>
      </x:c>
    </x:row>
    <x:row r="10" ht="42" customHeight="1">
      <x:c r="A10" s="2" t="str">
        <x:v>sigma2</x:v>
      </x:c>
      <x:c r="B10" s="5" t="str">
        <x:v>Viscous coefficient</x:v>
      </x:c>
      <x:c r="C10" s="6" t="n">
        <x:v>0</x:v>
      </x:c>
      <x:c r="D10" s="6" t="str">
        <x:v>s/m</x:v>
      </x:c>
      <x:c r="E10" s="6" t="n">
        <x:v>0</x:v>
      </x:c>
      <x:c r="F10" s="6" t="n">
        <x:v>0.02</x:v>
      </x:c>
      <x:c r="G10" s="2" t="str">
        <x:v>published</x:v>
      </x:c>
      <x:c r="H10" s="2" t="str">
        <x:v>fixed</x:v>
      </x:c>
      <x:c r="I10" s="5" t="str">
        <x:v>force</x:v>
      </x:c>
      <x:c r="J10" s="5" t="str">
        <x:v>Zero in base case</x:v>
      </x:c>
      <x:c r="K10" s="5" t="str">
        <x:v>https://skoge.folk.ntnu.no/prost/proceedings/ifac2002/data/content/00284/284.pdf Appendix B</x:v>
      </x:c>
    </x:row>
    <x:row r="11" ht="42" customHeight="1">
      <x:c r="A11" s="2" t="str">
        <x:v>mu_k</x:v>
      </x:c>
      <x:c r="B11" s="5" t="str">
        <x:v>Kinetic friction</x:v>
      </x:c>
      <x:c r="C11" s="6" t="n">
        <x:v>0.648</x:v>
      </x:c>
      <x:c r="D11" s="6" t="str">
        <x:v>1</x:v>
      </x:c>
      <x:c r="E11" s="6" t="n">
        <x:v>0.3</x:v>
      </x:c>
      <x:c r="F11" s="6" t="n">
        <x:v>1</x:v>
      </x:c>
      <x:c r="G11" s="2" t="str">
        <x:v>published</x:v>
      </x:c>
      <x:c r="H11" s="2" t="str">
        <x:v>fixed</x:v>
      </x:c>
      <x:c r="I11" s="5" t="str">
        <x:v>PDE</x:v>
      </x:c>
      <x:c r="J11" s="5" t="str">
        <x:v>Friction normalized by nominal Fz</x:v>
      </x:c>
      <x:c r="K11" s="5" t="str">
        <x:v>https://skoge.folk.ntnu.no/prost/proceedings/ifac2002/data/content/00284/284.pdf Appendix B</x:v>
      </x:c>
    </x:row>
    <x:row r="12" ht="42" customHeight="1">
      <x:c r="A12" s="2" t="str">
        <x:v>mu_s</x:v>
      </x:c>
      <x:c r="B12" s="5" t="str">
        <x:v>Static friction</x:v>
      </x:c>
      <x:c r="C12" s="6" t="n">
        <x:v>1.671</x:v>
      </x:c>
      <x:c r="D12" s="6" t="str">
        <x:v>1</x:v>
      </x:c>
      <x:c r="E12" s="6" t="n">
        <x:v>1</x:v>
      </x:c>
      <x:c r="F12" s="6" t="n">
        <x:v>2</x:v>
      </x:c>
      <x:c r="G12" s="2" t="str">
        <x:v>published</x:v>
      </x:c>
      <x:c r="H12" s="2" t="str">
        <x:v>fixed</x:v>
      </x:c>
      <x:c r="I12" s="5" t="str">
        <x:v>PDE</x:v>
      </x:c>
      <x:c r="J12" s="5" t="str">
        <x:v>Friction normalized by nominal Fz</x:v>
      </x:c>
      <x:c r="K12" s="5" t="str">
        <x:v>https://skoge.folk.ntnu.no/prost/proceedings/ifac2002/data/content/00284/284.pdf Appendix B</x:v>
      </x:c>
    </x:row>
    <x:row r="13" ht="42" customHeight="1">
      <x:c r="A13" s="2" t="str">
        <x:v>v_s</x:v>
      </x:c>
      <x:c r="B13" s="5" t="str">
        <x:v>Stribeck velocity</x:v>
      </x:c>
      <x:c r="C13" s="6" t="n">
        <x:v>3.49</x:v>
      </x:c>
      <x:c r="D13" s="6" t="str">
        <x:v>m/s</x:v>
      </x:c>
      <x:c r="E13" s="6" t="n">
        <x:v>1</x:v>
      </x:c>
      <x:c r="F13" s="6" t="n">
        <x:v>6</x:v>
      </x:c>
      <x:c r="G13" s="2" t="str">
        <x:v>published</x:v>
      </x:c>
      <x:c r="H13" s="2" t="str">
        <x:v>fixed</x:v>
      </x:c>
      <x:c r="I13" s="5" t="str">
        <x:v>PDE</x:v>
      </x:c>
      <x:c r="J13" s="5" t="str">
        <x:v>Friction normalized by nominal Fz</x:v>
      </x:c>
      <x:c r="K13" s="5" t="str">
        <x:v>https://skoge.folk.ntnu.no/prost/proceedings/ifac2002/data/content/00284/284.pdf Appendix B</x:v>
      </x:c>
    </x:row>
    <x:row r="14" ht="42" customHeight="1">
      <x:c r="A14" s="2" t="str">
        <x:v>gamma</x:v>
      </x:c>
      <x:c r="B14" s="5" t="str">
        <x:v>Stribeck exponent</x:v>
      </x:c>
      <x:c r="C14" s="6" t="n">
        <x:v>0.6</x:v>
      </x:c>
      <x:c r="D14" s="6" t="str">
        <x:v>1</x:v>
      </x:c>
      <x:c r="E14" s="6" t="n">
        <x:v>0.4</x:v>
      </x:c>
      <x:c r="F14" s="6" t="n">
        <x:v>2</x:v>
      </x:c>
      <x:c r="G14" s="2" t="str">
        <x:v>published</x:v>
      </x:c>
      <x:c r="H14" s="2" t="str">
        <x:v>fixed</x:v>
      </x:c>
      <x:c r="I14" s="5" t="str">
        <x:v>PDE</x:v>
      </x:c>
      <x:c r="J14" s="5" t="str">
        <x:v>Friction normalized by nominal Fz</x:v>
      </x:c>
      <x:c r="K14" s="5" t="str">
        <x:v>https://skoge.folk.ntnu.no/prost/proceedings/ifac2002/data/content/00284/284.pdf Appendix B</x:v>
      </x:c>
    </x:row>
    <x:row r="15" ht="42" customHeight="1">
      <x:c r="A15" s="2" t="str">
        <x:v>pressure_left</x:v>
      </x:c>
      <x:c r="B15" s="5" t="str">
        <x:v>Trapezoid first breakpoint</x:v>
      </x:c>
      <x:c r="C15" s="6" t="n">
        <x:v>0.134</x:v>
      </x:c>
      <x:c r="D15" s="6" t="str">
        <x:v>1</x:v>
      </x:c>
      <x:c r="E15" s="6" t="n">
        <x:v>0.05</x:v>
      </x:c>
      <x:c r="F15" s="6" t="n">
        <x:v>0.3</x:v>
      </x:c>
      <x:c r="G15" s="2" t="str">
        <x:v>published</x:v>
      </x:c>
      <x:c r="H15" s="2" t="str">
        <x:v>fixed</x:v>
      </x:c>
      <x:c r="I15" s="5" t="str">
        <x:v>pressure</x:v>
      </x:c>
      <x:c r="J15" s="5" t="str">
        <x:v>x_left/L</x:v>
      </x:c>
      <x:c r="K15" s="5" t="str">
        <x:v>https://skoge.folk.ntnu.no/prost/proceedings/ifac2002/data/content/00284/284.pdf Appendix B</x:v>
      </x:c>
    </x:row>
    <x:row r="16" ht="42" customHeight="1">
      <x:c r="A16" s="2" t="str">
        <x:v>pressure_right</x:v>
      </x:c>
      <x:c r="B16" s="5" t="str">
        <x:v>Trapezoid second breakpoint</x:v>
      </x:c>
      <x:c r="C16" s="6" t="n">
        <x:v>0.707</x:v>
      </x:c>
      <x:c r="D16" s="6" t="str">
        <x:v>1</x:v>
      </x:c>
      <x:c r="E16" s="6" t="n">
        <x:v>0.6</x:v>
      </x:c>
      <x:c r="F16" s="6" t="n">
        <x:v>0.9</x:v>
      </x:c>
      <x:c r="G16" s="2" t="str">
        <x:v>published</x:v>
      </x:c>
      <x:c r="H16" s="2" t="str">
        <x:v>fixed</x:v>
      </x:c>
      <x:c r="I16" s="5" t="str">
        <x:v>pressure</x:v>
      </x:c>
      <x:c r="J16" s="5" t="str">
        <x:v>x_right/L</x:v>
      </x:c>
      <x:c r="K16" s="5" t="str">
        <x:v>https://skoge.folk.ntnu.no/prost/proceedings/ifac2002/data/content/00284/284.pdf Appendix B</x:v>
      </x:c>
    </x:row>
    <x:row r="17" ht="42" customHeight="1">
      <x:c r="A17" s="2" t="str">
        <x:v>pressure_family</x:v>
      </x:c>
      <x:c r="B17" s="5" t="str">
        <x:v>Selected normal load shape</x:v>
      </x:c>
      <x:c r="C17" s="6" t="str">
        <x:v>trapezoid</x:v>
      </x:c>
      <x:c r="D17" s="6" t="str">
        <x:v>category</x:v>
      </x:c>
      <x:c r="E17" s="6"/>
      <x:c r="F17" s="6"/>
      <x:c r="G17" s="2" t="str">
        <x:v>design</x:v>
      </x:c>
      <x:c r="H17" s="2" t="str">
        <x:v>sampled</x:v>
      </x:c>
      <x:c r="I17" s="5" t="str">
        <x:v>pressure</x:v>
      </x:c>
      <x:c r="J17" s="5" t="str">
        <x:v>Uniform/trapezoid/quartic; quartic=30*u^2*(1-u)^2 chosen here</x:v>
      </x:c>
      <x:c r="K17" s="5" t="str">
        <x:v>https://dcsl.gatech.edu/papers/vsd04R.pdf Sec.4</x:v>
      </x:c>
    </x:row>
    <x:row r="18" ht="42" customHeight="1">
      <x:c r="A18" s="2" t="str">
        <x:v>r</x:v>
      </x:c>
      <x:c r="B18" s="5" t="str">
        <x:v>Rolling radius</x:v>
      </x:c>
      <x:c r="C18" s="6" t="n">
        <x:v>0.3</x:v>
      </x:c>
      <x:c r="D18" s="6" t="str">
        <x:v>m</x:v>
      </x:c>
      <x:c r="E18" s="6" t="n">
        <x:v>0.1</x:v>
      </x:c>
      <x:c r="F18" s="6" t="n">
        <x:v>0.4</x:v>
      </x:c>
      <x:c r="G18" s="2" t="str">
        <x:v>design</x:v>
      </x:c>
      <x:c r="H18" s="2" t="str">
        <x:v>fixed</x:v>
      </x:c>
      <x:c r="I18" s="5" t="str">
        <x:v>wheel</x:v>
      </x:c>
      <x:c r="J18" s="5" t="str">
        <x:v>Assumed interface radius; not from Appendix B</x:v>
      </x:c>
      <x:c r="K18" s="5" t="str">
        <x:v>model_spec.md design choice</x:v>
      </x:c>
    </x:row>
    <x:row r="19" ht="42" customHeight="1">
      <x:c r="A19" s="2" t="str">
        <x:v>Iw</x:v>
      </x:c>
      <x:c r="B19" s="5" t="str">
        <x:v>Wheel rotational inertia</x:v>
      </x:c>
      <x:c r="C19" s="6" t="n">
        <x:v>1.2</x:v>
      </x:c>
      <x:c r="D19" s="6" t="str">
        <x:v>kg*m^2</x:v>
      </x:c>
      <x:c r="E19" s="6" t="n">
        <x:v>0.1</x:v>
      </x:c>
      <x:c r="F19" s="6" t="n">
        <x:v>2</x:v>
      </x:c>
      <x:c r="G19" s="2" t="str">
        <x:v>design</x:v>
      </x:c>
      <x:c r="H19" s="2" t="str">
        <x:v>fixed</x:v>
      </x:c>
      <x:c r="I19" s="5" t="str">
        <x:v>wheel</x:v>
      </x:c>
      <x:c r="J19" s="5" t="str">
        <x:v>Assumed single-wheel bench inertia</x:v>
      </x:c>
      <x:c r="K19" s="5" t="str">
        <x:v>model_spec.md design choice</x:v>
      </x:c>
    </x:row>
    <x:row r="20" ht="42" customHeight="1">
      <x:c r="A20" s="2" t="str">
        <x:v>actuator_tau</x:v>
      </x:c>
      <x:c r="B20" s="5" t="str">
        <x:v>Brake lag time constant</x:v>
      </x:c>
      <x:c r="C20" s="6" t="n">
        <x:v>0.02</x:v>
      </x:c>
      <x:c r="D20" s="6" t="str">
        <x:v>s</x:v>
      </x:c>
      <x:c r="E20" s="6" t="n">
        <x:v>0.01</x:v>
      </x:c>
      <x:c r="F20" s="6" t="n">
        <x:v>0.1</x:v>
      </x:c>
      <x:c r="G20" s="2" t="str">
        <x:v>design</x:v>
      </x:c>
      <x:c r="H20" s="2" t="str">
        <x:v>fixed</x:v>
      </x:c>
      <x:c r="I20" s="5" t="str">
        <x:v>wheel</x:v>
      </x:c>
      <x:c r="J20" s="5" t="str">
        <x:v>Assumed first-order actuator</x:v>
      </x:c>
      <x:c r="K20" s="5" t="str">
        <x:v>model_spec.md design choice</x:v>
      </x:c>
    </x:row>
    <x:row r="21" ht="42" customHeight="1">
      <x:c r="A21" s="2" t="str">
        <x:v>brake_max</x:v>
      </x:c>
      <x:c r="B21" s="5" t="str">
        <x:v>Maximum commanded brake torque</x:v>
      </x:c>
      <x:c r="C21" s="6" t="n">
        <x:v>1200</x:v>
      </x:c>
      <x:c r="D21" s="6" t="str">
        <x:v>N*m</x:v>
      </x:c>
      <x:c r="E21" s="6" t="n">
        <x:v>0</x:v>
      </x:c>
      <x:c r="F21" s="6" t="n">
        <x:v>1200</x:v>
      </x:c>
      <x:c r="G21" s="2" t="str">
        <x:v>design</x:v>
      </x:c>
      <x:c r="H21" s="2" t="str">
        <x:v>fixed</x:v>
      </x:c>
      <x:c r="I21" s="5" t="str">
        <x:v>wheel</x:v>
      </x:c>
      <x:c r="J21" s="5" t="str">
        <x:v>Physical actuator limit, not force clamp</x:v>
      </x:c>
      <x:c r="K21" s="5" t="str">
        <x:v>model_spec.md design choice</x:v>
      </x:c>
    </x:row>
    <x:row r="22" ht="42" customHeight="1">
      <x:c r="A22" s="2" t="str">
        <x:v>brake_rate</x:v>
      </x:c>
      <x:c r="B22" s="5" t="str">
        <x:v>Maximum brake torque slew</x:v>
      </x:c>
      <x:c r="C22" s="6" t="n">
        <x:v>10000</x:v>
      </x:c>
      <x:c r="D22" s="6" t="str">
        <x:v>N*m/s</x:v>
      </x:c>
      <x:c r="E22" s="6" t="n">
        <x:v>1000</x:v>
      </x:c>
      <x:c r="F22" s="6" t="n">
        <x:v>20000</x:v>
      </x:c>
      <x:c r="G22" s="2" t="str">
        <x:v>design</x:v>
      </x:c>
      <x:c r="H22" s="2" t="str">
        <x:v>fixed</x:v>
      </x:c>
      <x:c r="I22" s="5" t="str">
        <x:v>wheel</x:v>
      </x:c>
      <x:c r="J22" s="5" t="str">
        <x:v>Physical actuator limit</x:v>
      </x:c>
      <x:c r="K22" s="5" t="str">
        <x:v>model_spec.md design choice</x:v>
      </x:c>
    </x:row>
    <x:row r="23" ht="42" customHeight="1">
      <x:c r="A23" s="2" t="str">
        <x:v>Vx</x:v>
      </x:c>
      <x:c r="B23" s="5" t="str">
        <x:v>Longitudinal wheel-centre velocity</x:v>
      </x:c>
      <x:c r="C23" s="6" t="n">
        <x:v>8</x:v>
      </x:c>
      <x:c r="D23" s="6" t="str">
        <x:v>m/s</x:v>
      </x:c>
      <x:c r="E23" s="6" t="n">
        <x:v>2</x:v>
      </x:c>
      <x:c r="F23" s="6" t="n">
        <x:v>20</x:v>
      </x:c>
      <x:c r="G23" s="2" t="str">
        <x:v>design</x:v>
      </x:c>
      <x:c r="H23" s="2" t="str">
        <x:v>fixed</x:v>
      </x:c>
      <x:c r="I23" s="5" t="str">
        <x:v>dataset</x:v>
      </x:c>
      <x:c r="J23" s="5" t="str">
        <x:v>Forward only; literature reproduction uses 60 km/h</x:v>
      </x:c>
      <x:c r="K23" s="5" t="str">
        <x:v>model_spec.md design choice</x:v>
      </x:c>
    </x:row>
    <x:row r="24" ht="42" customHeight="1">
      <x:c r="A24" s="2" t="str">
        <x:v>Vy</x:v>
      </x:c>
      <x:c r="B24" s="5" t="str">
        <x:v>Lateral wheel-centre velocity</x:v>
      </x:c>
      <x:c r="C24" s="6" t="n">
        <x:v>0.3</x:v>
      </x:c>
      <x:c r="D24" s="6" t="str">
        <x:v>m/s</x:v>
      </x:c>
      <x:c r="E24" s="6" t="n">
        <x:v>-2</x:v>
      </x:c>
      <x:c r="F24" s="6" t="n">
        <x:v>2</x:v>
      </x:c>
      <x:c r="G24" s="2" t="str">
        <x:v>design</x:v>
      </x:c>
      <x:c r="H24" s="2" t="str">
        <x:v>fixed</x:v>
      </x:c>
      <x:c r="I24" s="5" t="str">
        <x:v>dataset</x:v>
      </x:c>
      <x:c r="J24" s="5" t="str">
        <x:v>Positive left; slip opposes Fy at equilibrium</x:v>
      </x:c>
      <x:c r="K24" s="5" t="str">
        <x:v>model_spec.md design choice</x:v>
      </x:c>
    </x:row>
    <x:row r="25" ht="42" customHeight="1">
      <x:c r="A25" s="2" t="str">
        <x:v>omega</x:v>
      </x:c>
      <x:c r="B25" s="5" t="str">
        <x:v>Angular speed</x:v>
      </x:c>
      <x:c r="C25" s="6" t="n">
        <x:v>26.666666666666668</x:v>
      </x:c>
      <x:c r="D25" s="6" t="str">
        <x:v>rad/s</x:v>
      </x:c>
      <x:c r="E25" s="6" t="n">
        <x:v>0</x:v>
      </x:c>
      <x:c r="F25" s="6" t="n">
        <x:v>80</x:v>
      </x:c>
      <x:c r="G25" s="2" t="str">
        <x:v>design</x:v>
      </x:c>
      <x:c r="H25" s="2" t="str">
        <x:v>fixed</x:v>
      </x:c>
      <x:c r="I25" s="5" t="str">
        <x:v>wheel</x:v>
      </x:c>
      <x:c r="J25" s="5" t="str">
        <x:v>Positive forward rolling; reject reverse</x:v>
      </x:c>
      <x:c r="K25" s="5" t="str">
        <x:v>model_spec.md design choice</x:v>
      </x:c>
    </x:row>
    <x:row r="26" ht="42" customHeight="1">
      <x:c r="A26" s="2" t="str">
        <x:v>delta</x:v>
      </x:c>
      <x:c r="B26" s="5" t="str">
        <x:v>Steering angle</x:v>
      </x:c>
      <x:c r="C26" s="6" t="n">
        <x:v>0</x:v>
      </x:c>
      <x:c r="D26" s="6" t="str">
        <x:v>rad</x:v>
      </x:c>
      <x:c r="E26" s="6" t="n">
        <x:v>-0.5</x:v>
      </x:c>
      <x:c r="F26" s="6" t="n">
        <x:v>0.5</x:v>
      </x:c>
      <x:c r="G26" s="2" t="str">
        <x:v>design</x:v>
      </x:c>
      <x:c r="H26" s="2" t="str">
        <x:v>fixed</x:v>
      </x:c>
      <x:c r="I26" s="5" t="str">
        <x:v>vehicle interface</x:v>
      </x:c>
      <x:c r="J26" s="5" t="str">
        <x:v>Wheel-to-body rotation only; not solved tire input</x:v>
      </x:c>
      <x:c r="K26" s="5" t="str">
        <x:v>model_spec.md design choice</x:v>
      </x:c>
    </x:row>
    <x:row r="27" ht="42" customHeight="1">
      <x:c r="A27" s="2" t="str">
        <x:v>v_slip_max</x:v>
      </x:c>
      <x:c r="B27" s="5" t="str">
        <x:v>Sampled total slip speed ceiling</x:v>
      </x:c>
      <x:c r="C27" s="6" t="n">
        <x:v>5</x:v>
      </x:c>
      <x:c r="D27" s="6" t="str">
        <x:v>m/s</x:v>
      </x:c>
      <x:c r="E27" s="6" t="n">
        <x:v>0</x:v>
      </x:c>
      <x:c r="F27" s="6" t="n">
        <x:v>5</x:v>
      </x:c>
      <x:c r="G27" s="2" t="str">
        <x:v>design</x:v>
      </x:c>
      <x:c r="H27" s="2" t="str">
        <x:v>fixed</x:v>
      </x:c>
      <x:c r="I27" s="5" t="str">
        <x:v>dataset</x:v>
      </x:c>
      <x:c r="J27" s="5" t="str">
        <x:v>Dataset design, not physical law</x:v>
      </x:c>
      <x:c r="K27" s="5" t="str">
        <x:v>model_spec.md design choice</x:v>
      </x:c>
    </x:row>
    <x:row r="28" ht="42" customHeight="1">
      <x:c r="A28" s="2" t="str">
        <x:v>speed_epsilon</x:v>
      </x:c>
      <x:c r="B28" s="5" t="str">
        <x:v>Slip-ratio reporting denominator floor</x:v>
      </x:c>
      <x:c r="C28" s="6" t="n">
        <x:v>0.1</x:v>
      </x:c>
      <x:c r="D28" s="6" t="str">
        <x:v>m/s</x:v>
      </x:c>
      <x:c r="E28" s="6" t="n">
        <x:v>0.01</x:v>
      </x:c>
      <x:c r="F28" s="6" t="n">
        <x:v>0.2</x:v>
      </x:c>
      <x:c r="G28" s="2" t="str">
        <x:v>design</x:v>
      </x:c>
      <x:c r="H28" s="2" t="str">
        <x:v>fixed</x:v>
      </x:c>
      <x:c r="I28" s="5" t="str">
        <x:v>interface</x:v>
      </x:c>
      <x:c r="J28" s="5" t="str">
        <x:v>Used for reported kappa only; never in PDE</x:v>
      </x:c>
      <x:c r="K28" s="5" t="str">
        <x:v>model_spec.md design choice</x:v>
      </x:c>
    </x:row>
    <x:row r="29" ht="42" customHeight="1">
      <x:c r="A29" s="2" t="str">
        <x:v>nx</x:v>
      </x:c>
      <x:c r="B29" s="5" t="str">
        <x:v>Reference grid nodes</x:v>
      </x:c>
      <x:c r="C29" s="6" t="n">
        <x:v>257</x:v>
      </x:c>
      <x:c r="D29" s="6" t="str">
        <x:v>count</x:v>
      </x:c>
      <x:c r="E29" s="6" t="n">
        <x:v>65</x:v>
      </x:c>
      <x:c r="F29" s="6" t="n">
        <x:v>1025</x:v>
      </x:c>
      <x:c r="G29" s="2" t="str">
        <x:v>design</x:v>
      </x:c>
      <x:c r="H29" s="2" t="str">
        <x:v>fixed</x:v>
      </x:c>
      <x:c r="I29" s="5" t="str">
        <x:v>solver</x:v>
      </x:c>
      <x:c r="J29" s="5" t="str">
        <x:v>Includes both endpoints</x:v>
      </x:c>
      <x:c r="K29" s="5" t="str">
        <x:v>model_spec.md design choice</x:v>
      </x:c>
    </x:row>
    <x:row r="30" ht="42" customHeight="1">
      <x:c r="A30" s="2" t="str">
        <x:v>dt_solver</x:v>
      </x:c>
      <x:c r="B30" s="5" t="str">
        <x:v>Reference internal step</x:v>
      </x:c>
      <x:c r="C30" s="6" t="n">
        <x:v>0.001</x:v>
      </x:c>
      <x:c r="D30" s="6" t="str">
        <x:v>s</x:v>
      </x:c>
      <x:c r="E30" s="6" t="n">
        <x:v>0.000125</x:v>
      </x:c>
      <x:c r="F30" s="6" t="n">
        <x:v>0.004</x:v>
      </x:c>
      <x:c r="G30" s="2" t="str">
        <x:v>design</x:v>
      </x:c>
      <x:c r="H30" s="2" t="str">
        <x:v>fixed</x:v>
      </x:c>
      <x:c r="I30" s="5" t="str">
        <x:v>solver</x:v>
      </x:c>
      <x:c r="J30" s="5" t="str">
        <x:v>Pilot design; refine to check each family</x:v>
      </x:c>
      <x:c r="K30" s="5" t="str">
        <x:v>model_spec.md design choice</x:v>
      </x:c>
    </x:row>
    <x:row r="31" ht="42" customHeight="1">
      <x:c r="A31" s="2" t="str">
        <x:v>dt_control</x:v>
      </x:c>
      <x:c r="B31" s="5" t="str">
        <x:v>Control interval</x:v>
      </x:c>
      <x:c r="C31" s="6" t="n">
        <x:v>0.02</x:v>
      </x:c>
      <x:c r="D31" s="6" t="str">
        <x:v>s</x:v>
      </x:c>
      <x:c r="E31" s="6" t="n">
        <x:v>0.01</x:v>
      </x:c>
      <x:c r="F31" s="6" t="n">
        <x:v>0.05</x:v>
      </x:c>
      <x:c r="G31" s="2" t="str">
        <x:v>design</x:v>
      </x:c>
      <x:c r="H31" s="2" t="str">
        <x:v>fixed</x:v>
      </x:c>
      <x:c r="I31" s="5" t="str">
        <x:v>wheel,dataset</x:v>
      </x:c>
      <x:c r="J31" s="5" t="str">
        <x:v>Assumed sample-and-hold command interval</x:v>
      </x:c>
      <x:c r="K31" s="5" t="str">
        <x:v>model_spec.md design choice</x:v>
      </x:c>
    </x:row>
    <x:row r="32" ht="42" customHeight="1">
      <x:c r="A32" s="2" t="str">
        <x:v>horizon</x:v>
      </x:c>
      <x:c r="B32" s="5" t="str">
        <x:v>Single candidate horizon</x:v>
      </x:c>
      <x:c r="C32" s="6" t="n">
        <x:v>0.02</x:v>
      </x:c>
      <x:c r="D32" s="6" t="str">
        <x:v>s</x:v>
      </x:c>
      <x:c r="E32" s="6" t="n">
        <x:v>0.01</x:v>
      </x:c>
      <x:c r="F32" s="6" t="n">
        <x:v>0.05</x:v>
      </x:c>
      <x:c r="G32" s="2" t="str">
        <x:v>design</x:v>
      </x:c>
      <x:c r="H32" s="2" t="str">
        <x:v>fixed</x:v>
      </x:c>
      <x:c r="I32" s="5" t="str">
        <x:v>wheel,dataset</x:v>
      </x:c>
      <x:c r="J32" s="5" t="str">
        <x:v>Default matches dt_control</x:v>
      </x:c>
      <x:c r="K32" s="5" t="str">
        <x:v>model_spec.md design choice</x:v>
      </x:c>
    </x:row>
    <x:row r="33" ht="42" customHeight="1">
      <x:c r="A33" s="2" t="str">
        <x:v>duration</x:v>
      </x:c>
      <x:c r="B33" s="5" t="str">
        <x:v>Kinematic trajectory duration</x:v>
      </x:c>
      <x:c r="C33" s="6" t="n">
        <x:v>0.4</x:v>
      </x:c>
      <x:c r="D33" s="6" t="str">
        <x:v>s</x:v>
      </x:c>
      <x:c r="E33" s="6" t="n">
        <x:v>0.1</x:v>
      </x:c>
      <x:c r="F33" s="6" t="n">
        <x:v>2</x:v>
      </x:c>
      <x:c r="G33" s="2" t="str">
        <x:v>design</x:v>
      </x:c>
      <x:c r="H33" s="2" t="str">
        <x:v>fixed</x:v>
      </x:c>
      <x:c r="I33" s="5" t="str">
        <x:v>dataset</x:v>
      </x:c>
      <x:c r="J33" s="5" t="str">
        <x:v>Numerical pilot; not stopping-distance run</x:v>
      </x:c>
      <x:c r="K33" s="5" t="str">
        <x:v>model_spec.md design choice</x:v>
      </x:c>
    </x:row>
    <x:row r="34" ht="42" customHeight="1">
      <x:c r="A34" s="2" t="str">
        <x:v>seed</x:v>
      </x:c>
      <x:c r="B34" s="5" t="str">
        <x:v>Random seed</x:v>
      </x:c>
      <x:c r="C34" s="6" t="n">
        <x:v>20261003</x:v>
      </x:c>
      <x:c r="D34" s="6" t="str">
        <x:v>integer</x:v>
      </x:c>
      <x:c r="E34" s="6"/>
      <x:c r="F34" s="6"/>
      <x:c r="G34" s="2" t="str">
        <x:v>design</x:v>
      </x:c>
      <x:c r="H34" s="2" t="str">
        <x:v>fixed</x:v>
      </x:c>
      <x:c r="I34" s="5" t="str">
        <x:v>dataset</x:v>
      </x:c>
      <x:c r="J34" s="5" t="str">
        <x:v>Deterministic pilot sampling</x:v>
      </x:c>
      <x:c r="K34" s="5" t="str">
        <x:v>model_spec.md design choice</x:v>
      </x:c>
    </x:row>
    <x:row r="35" ht="42" customHeight="1">
      <x:c r="A35" s="2" t="str">
        <x:v>n_trajectories</x:v>
      </x:c>
      <x:c r="B35" s="5" t="str">
        <x:v>Kinematic pilot trajectories</x:v>
      </x:c>
      <x:c r="C35" s="6" t="n">
        <x:v>24</x:v>
      </x:c>
      <x:c r="D35" s="6" t="str">
        <x:v>count</x:v>
      </x:c>
      <x:c r="E35" s="6"/>
      <x:c r="F35" s="6"/>
      <x:c r="G35" s="2" t="str">
        <x:v>design</x:v>
      </x:c>
      <x:c r="H35" s="2" t="str">
        <x:v>fixed</x:v>
      </x:c>
      <x:c r="I35" s="5" t="str">
        <x:v>dataset</x:v>
      </x:c>
      <x:c r="J35" s="5" t="str">
        <x:v>16 train, 4 validation, 4 test groups</x:v>
      </x:c>
      <x:c r="K35" s="5" t="str">
        <x:v>model_spec.md design choice</x:v>
      </x:c>
    </x:row>
    <x:row r="36" ht="42" customHeight="1">
      <x:c r="A36" s="2" t="str">
        <x:v>n_wheel_trajectories</x:v>
      </x:c>
      <x:c r="B36" s="5" t="str">
        <x:v>Candidate benchmark trajectories</x:v>
      </x:c>
      <x:c r="C36" s="6" t="n">
        <x:v>12</x:v>
      </x:c>
      <x:c r="D36" s="6" t="str">
        <x:v>count</x:v>
      </x:c>
      <x:c r="E36" s="6"/>
      <x:c r="F36" s="6"/>
      <x:c r="G36" s="2" t="str">
        <x:v>design</x:v>
      </x:c>
      <x:c r="H36" s="2" t="str">
        <x:v>fixed</x:v>
      </x:c>
      <x:c r="I36" s="5" t="str">
        <x:v>dataset</x:v>
      </x:c>
      <x:c r="J36" s="5" t="str">
        <x:v>8 train, 2 validation, 2 test groups</x:v>
      </x:c>
      <x:c r="K36" s="5" t="str">
        <x:v>model_spec.md design choice</x:v>
      </x:c>
    </x:row>
    <x:row r="37" ht="42" customHeight="1">
      <x:c r="A37" s="2" t="str">
        <x:v>rtol</x:v>
      </x:c>
      <x:c r="B37" s="5" t="str">
        <x:v>MOL BDF relative tolerance</x:v>
      </x:c>
      <x:c r="C37" s="6" t="n">
        <x:v>1e-8</x:v>
      </x:c>
      <x:c r="D37" s="6" t="str">
        <x:v>1</x:v>
      </x:c>
      <x:c r="E37" s="6"/>
      <x:c r="F37" s="6"/>
      <x:c r="G37" s="2" t="str">
        <x:v>design</x:v>
      </x:c>
      <x:c r="H37" s="2" t="str">
        <x:v>fixed</x:v>
      </x:c>
      <x:c r="I37" s="5" t="str">
        <x:v>independent</x:v>
      </x:c>
      <x:c r="J37" s="5" t="str">
        <x:v>Independent verification tolerance</x:v>
      </x:c>
      <x:c r="K37" s="5" t="str">
        <x:v>model_spec.md design choice</x:v>
      </x:c>
    </x:row>
    <x:row r="38" ht="42" customHeight="1">
      <x:c r="A38" s="2" t="str">
        <x:v>atol</x:v>
      </x:c>
      <x:c r="B38" s="5" t="str">
        <x:v>MOL BDF absolute state tolerance</x:v>
      </x:c>
      <x:c r="C38" s="6" t="n">
        <x:v>1e-11</x:v>
      </x:c>
      <x:c r="D38" s="6" t="str">
        <x:v>m</x:v>
      </x:c>
      <x:c r="E38" s="6"/>
      <x:c r="F38" s="6"/>
      <x:c r="G38" s="2" t="str">
        <x:v>design</x:v>
      </x:c>
      <x:c r="H38" s="2" t="str">
        <x:v>fixed</x:v>
      </x:c>
      <x:c r="I38" s="5" t="str">
        <x:v>independent</x:v>
      </x:c>
      <x:c r="J38" s="5" t="str">
        <x:v>Independent verification tolerance</x:v>
      </x:c>
      <x:c r="K38" s="5" t="str">
        <x:v>model_spec.md design choice</x:v>
      </x:c>
    </x:row>
    <x:row r="39" ht="42" customHeight="1">
      <x:c r="A39" s="2" t="str">
        <x:v>force_gate</x:v>
      </x:c>
      <x:c r="B39" s="5" t="str">
        <x:v>Fine/coarse maximum force error divided by Fz</x:v>
      </x:c>
      <x:c r="C39" s="6" t="n">
        <x:v>0.02</x:v>
      </x:c>
      <x:c r="D39" s="6" t="str">
        <x:v>1</x:v>
      </x:c>
      <x:c r="E39" s="6"/>
      <x:c r="F39" s="6"/>
      <x:c r="G39" s="2" t="str">
        <x:v>design</x:v>
      </x:c>
      <x:c r="H39" s="2" t="str">
        <x:v>fixed</x:v>
      </x:c>
      <x:c r="I39" s="5" t="str">
        <x:v>verification</x:v>
      </x:c>
      <x:c r="J39" s="5" t="str">
        <x:v>Predetermined numerical acceptance; not ML accuracy guarantee</x:v>
      </x:c>
      <x:c r="K39" s="5" t="str">
        <x:v>model_spec.md design choice</x:v>
      </x:c>
    </x:row>
    <x:row r="40" ht="42" customHeight="1">
      <x:c r="A40" s="2" t="str">
        <x:v>state_gate</x:v>
      </x:c>
      <x:c r="B40" s="5" t="str">
        <x:v>RMS field error divided by mu_s/min(sigma0)</x:v>
      </x:c>
      <x:c r="C40" s="6" t="n">
        <x:v>0.03</x:v>
      </x:c>
      <x:c r="D40" s="6" t="str">
        <x:v>1</x:v>
      </x:c>
      <x:c r="E40" s="6"/>
      <x:c r="F40" s="6"/>
      <x:c r="G40" s="2" t="str">
        <x:v>design</x:v>
      </x:c>
      <x:c r="H40" s="2" t="str">
        <x:v>fixed</x:v>
      </x:c>
      <x:c r="I40" s="5" t="str">
        <x:v>verification</x:v>
      </x:c>
      <x:c r="J40" s="5" t="str">
        <x:v>Predetermined numerical acceptance</x:v>
      </x:c>
      <x:c r="K40" s="5" t="str">
        <x:v>model_spec.md design choice</x:v>
      </x:c>
    </x:row>
    <x:row r="41" ht="42" customHeight="1">
      <x:c r="A41" s="2" t="str">
        <x:v>rom_kappa_min</x:v>
      </x:c>
      <x:c r="B41" s="5" t="str">
        <x:v>ROM closure search lower bound</x:v>
      </x:c>
      <x:c r="C41" s="6" t="n">
        <x:v>0.2</x:v>
      </x:c>
      <x:c r="D41" s="6" t="str">
        <x:v>1</x:v>
      </x:c>
      <x:c r="E41" s="6"/>
      <x:c r="F41" s="6"/>
      <x:c r="G41" s="2" t="str">
        <x:v>design</x:v>
      </x:c>
      <x:c r="H41" s="2" t="str">
        <x:v>fixed</x:v>
      </x:c>
      <x:c r="I41" s="5" t="str">
        <x:v>ROM</x:v>
      </x:c>
      <x:c r="J41" s="5" t="str">
        <x:v>Calibration on training excitations only</x:v>
      </x:c>
      <x:c r="K41" s="5" t="str">
        <x:v>model_spec.md design choice</x:v>
      </x:c>
    </x:row>
    <x:row r="42" ht="42" customHeight="1">
      <x:c r="A42" s="2" t="str">
        <x:v>rom_kappa_max</x:v>
      </x:c>
      <x:c r="B42" s="5" t="str">
        <x:v>ROM closure search upper bound</x:v>
      </x:c>
      <x:c r="C42" s="6" t="n">
        <x:v>5</x:v>
      </x:c>
      <x:c r="D42" s="6" t="str">
        <x:v>1</x:v>
      </x:c>
      <x:c r="E42" s="6"/>
      <x:c r="F42" s="6"/>
      <x:c r="G42" s="2" t="str">
        <x:v>design</x:v>
      </x:c>
      <x:c r="H42" s="2" t="str">
        <x:v>fixed</x:v>
      </x:c>
      <x:c r="I42" s="5" t="str">
        <x:v>ROM</x:v>
      </x:c>
      <x:c r="J42" s="5" t="str">
        <x:v>Calibration on training excitations only</x:v>
      </x:c>
      <x:c r="K42" s="5" t="str">
        <x:v>model_spec.md design choice</x:v>
      </x:c>
    </x:row>
    <x:row r="43" ht="42" customHeight="1">
      <x:c r="A43" s="2" t="str">
        <x:v>literature_speed</x:v>
      </x:c>
      <x:c r="B43" s="5" t="str">
        <x:v>Deur reference speed</x:v>
      </x:c>
      <x:c r="C43" s="6" t="n">
        <x:v>16.666666666666668</x:v>
      </x:c>
      <x:c r="D43" s="6" t="str">
        <x:v>m/s</x:v>
      </x:c>
      <x:c r="E43" s="6"/>
      <x:c r="F43" s="6"/>
      <x:c r="G43" s="2" t="str">
        <x:v>published</x:v>
      </x:c>
      <x:c r="H43" s="2" t="str">
        <x:v>fixed</x:v>
      </x:c>
      <x:c r="I43" s="5" t="str">
        <x:v>literature</x:v>
      </x:c>
      <x:c r="J43" s="5" t="str">
        <x:v>60 km/h to SI</x:v>
      </x:c>
      <x:c r="K43" s="5" t="str">
        <x:v>https://skoge.folk.ntnu.no/prost/proceedings/ifac2002/data/content/00284/284.pdf Fig.4 / Appendix B</x:v>
      </x:c>
    </x:row>
    <x:row r="44" ht="42" customHeight="1">
      <x:c r="A44" s="2" t="str">
        <x:v>literature_angle</x:v>
      </x:c>
      <x:c r="B44" s="5" t="str">
        <x:v>Deur Fig.4 slip-angle step</x:v>
      </x:c>
      <x:c r="C44" s="6" t="n">
        <x:v>1</x:v>
      </x:c>
      <x:c r="D44" s="6" t="str">
        <x:v>degree</x:v>
      </x:c>
      <x:c r="E44" s="6"/>
      <x:c r="F44" s="6"/>
      <x:c r="G44" s="2" t="str">
        <x:v>published</x:v>
      </x:c>
      <x:c r="H44" s="2" t="str">
        <x:v>fixed</x:v>
      </x:c>
      <x:c r="I44" s="5" t="str">
        <x:v>literature</x:v>
      </x:c>
      <x:c r="J44" s="5" t="str">
        <x:v>0 to 1 degree at t=0.05 s</x:v>
      </x:c>
      <x:c r="K44" s="5" t="str">
        <x:v>https://skoge.folk.ntnu.no/prost/proceedings/ifac2002/data/content/00284/284.pdf Fig.4 / Appendix B</x:v>
      </x:c>
    </x:row>
  </x:sheetData>
  <x:conditionalFormatting sqref="G2:G44">
    <x:cfRule type="containsText" dxfId="0" priority="1" operator="containsText" text="design"/>
  </x:conditionalFormatting>
  <x:pageMargins left="0.7" right="0.7" top="0.75" bottom="0.75" header="0.3" footer="0.3"/>
  <x:tableParts count="1">
    <x:tablePart xmlns:r="http://schemas.openxmlformats.org/officeDocument/2006/relationships" r:id="R29c52febafe448b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3" hidden="0" customWidth="1"/>
    <x:col min="3" max="3" width="12" hidden="0" customWidth="1"/>
    <x:col min="4" max="4" width="63" hidden="0" customWidth="1"/>
    <x:col min="5" max="5" width="40" hidden="0" customWidth="1"/>
  </x:cols>
  <x:sheetData>
    <x:row r="1" ht="28" customHeight="1">
      <x:c r="A1" s="9" t="str">
        <x:v>Quantity</x:v>
      </x:c>
      <x:c r="B1" s="9" t="str">
        <x:v>Value</x:v>
      </x:c>
      <x:c r="C1" s="9" t="str">
        <x:v>Unit</x:v>
      </x:c>
      <x:c r="D1" s="9" t="str">
        <x:v>Definition</x:v>
      </x:c>
      <x:c r="E1" s="9" t="str">
        <x:v>Source</x:v>
      </x:c>
    </x:row>
    <x:row r="2" ht="30" customHeight="1">
      <x:c r="A2" s="1" t="str">
        <x:v>Nominal load</x:v>
      </x:c>
      <x:c r="B2" s="10" t="n">
        <x:f>Parameters!C3</x:f>
        <x:v>4000</x:v>
      </x:c>
      <x:c r="C2" s="1" t="str">
        <x:v>N</x:v>
      </x:c>
      <x:c r="D2" s="1" t="str">
        <x:v>Source load; keep fixed in normalized stiffness</x:v>
      </x:c>
      <x:c r="E2" s="1" t="str">
        <x:v>Deur 2002 Appendix B</x:v>
      </x:c>
    </x:row>
    <x:row r="3" ht="30" customHeight="1">
      <x:c r="A3" s="1" t="str">
        <x:v>Contact length</x:v>
      </x:c>
      <x:c r="B3" s="10" t="n">
        <x:f>Parameters!C2</x:f>
        <x:v>0.303</x:v>
      </x:c>
      <x:c r="C3" s="1" t="str">
        <x:v>m</x:v>
      </x:c>
      <x:c r="D3" s="1" t="str">
        <x:v>Source contact length</x:v>
      </x:c>
      <x:c r="E3" s="1" t="str">
        <x:v>Deur 2002 Appendix B</x:v>
      </x:c>
    </x:row>
    <x:row r="4" ht="30" customHeight="1">
      <x:c r="A4" s="1" t="str">
        <x:v>L sigma0x</x:v>
      </x:c>
      <x:c r="B4" s="10" t="n">
        <x:f>Parameters!C4</x:f>
        <x:v>314000</x:v>
      </x:c>
      <x:c r="C4" s="1" t="str">
        <x:v>N</x:v>
      </x:c>
      <x:c r="D4" s="1" t="str">
        <x:v>Published stiffness product</x:v>
      </x:c>
      <x:c r="E4" s="1" t="str">
        <x:v>Deur 2002 Appendix B</x:v>
      </x:c>
    </x:row>
    <x:row r="5" ht="30" customHeight="1">
      <x:c r="A5" s="1" t="str">
        <x:v>Normalized sigma0x</x:v>
      </x:c>
      <x:c r="B5" s="11" t="n">
        <x:f>B4/(B3*B2)</x:f>
        <x:v>259.0759075907591</x:v>
      </x:c>
      <x:c r="C5" s="1" t="str">
        <x:v>1/m</x:v>
      </x:c>
      <x:c r="D5" s="1" t="str">
        <x:v>(L sigma0x) / (L Fz)</x:v>
      </x:c>
      <x:c r="E5" s="1" t="str">
        <x:v>Derived from Eqs. 1-3</x:v>
      </x:c>
    </x:row>
    <x:row r="6" ht="30" customHeight="1">
      <x:c r="A6" s="1" t="str">
        <x:v>Normalized sigma0y</x:v>
      </x:c>
      <x:c r="B6" s="11" t="n">
        <x:f>Parameters!C5/(B3*B2)</x:f>
        <x:v>131.35313531353134</x:v>
      </x:c>
      <x:c r="C6" s="1" t="str">
        <x:v>1/m</x:v>
      </x:c>
      <x:c r="D6" s="1" t="str">
        <x:v>(L sigma0y) / (L Fz)</x:v>
      </x:c>
      <x:c r="E6" s="1" t="str">
        <x:v>Derived from Eqs. 1-3</x:v>
      </x:c>
    </x:row>
    <x:row r="7">
      <x:c r="A7" s="1"/>
      <x:c r="B7" s="1"/>
      <x:c r="C7" s="1"/>
      <x:c r="D7" s="1"/>
      <x:c r="E7" s="1"/>
    </x:row>
    <x:row r="8">
      <x:c r="A8" s="1" t="str">
        <x:v>Edit canonical CSV and rebuild; this Excel file is a review export.</x:v>
      </x:c>
      <x:c r="B8" s="1"/>
      <x:c r="C8" s="1"/>
      <x:c r="D8" s="1"/>
      <x:c r="E8" s="1"/>
    </x:row>
  </x:sheetData>
  <x:pageMargins left="0.7" right="0.7" top="0.75" bottom="0.75" header="0.3" footer="0.3"/>
</x:worksheet>
</file>